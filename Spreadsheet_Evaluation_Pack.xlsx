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mpt" sheetId="1" state="visible" r:id="rId1"/>
    <sheet xmlns:r="http://schemas.openxmlformats.org/officeDocument/2006/relationships" name="Candidate A" sheetId="2" state="visible" r:id="rId2"/>
    <sheet xmlns:r="http://schemas.openxmlformats.org/officeDocument/2006/relationships" name="Candidate B" sheetId="3" state="visible" r:id="rId3"/>
    <sheet xmlns:r="http://schemas.openxmlformats.org/officeDocument/2006/relationships" name="Rubric" sheetId="4" state="visible" r:id="rId4"/>
    <sheet xmlns:r="http://schemas.openxmlformats.org/officeDocument/2006/relationships" name="Scorecard" sheetId="5" state="visible" r:id="rId5"/>
    <sheet xmlns:r="http://schemas.openxmlformats.org/officeDocument/2006/relationships" name="Final Decis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€#,##0"/>
    <numFmt numFmtId="165" formatCode="0.0%"/>
  </numFmts>
  <fonts count="7">
    <font>
      <name val="Calibri"/>
      <family val="2"/>
      <color theme="1"/>
      <sz val="11"/>
      <scheme val="minor"/>
    </font>
    <font>
      <b val="1"/>
      <color rgb="00111827"/>
      <sz val="22"/>
    </font>
    <font>
      <b val="1"/>
      <color rgb="00111827"/>
      <sz val="12"/>
    </font>
    <font>
      <i val="1"/>
      <color rgb="006B7280"/>
      <sz val="12"/>
    </font>
    <font>
      <b val="1"/>
      <color rgb="00FFFFFF"/>
      <sz val="11"/>
    </font>
    <font>
      <b val="1"/>
      <color rgb="00DC2626"/>
      <sz val="11"/>
    </font>
    <font>
      <b val="1"/>
      <color rgb="0016A34A"/>
      <sz val="11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2" fontId="0" fillId="0" borderId="1" pivotButton="0" quotePrefix="0" xfId="0"/>
    <xf numFmtId="0" fontId="0" fillId="0" borderId="1" applyAlignment="1" pivotButton="0" quotePrefix="0" xfId="0">
      <alignment horizontal="left" vertical="center" wrapText="1"/>
    </xf>
    <xf numFmtId="0" fontId="2" fillId="0" borderId="1" pivotButton="0" quotePrefix="0" xfId="0"/>
    <xf numFmtId="164" fontId="5" fillId="0" borderId="1" pivotButton="0" quotePrefix="0" xfId="0"/>
    <xf numFmtId="165" fontId="0" fillId="0" borderId="1" pivotButton="0" quotePrefix="0" xfId="0"/>
    <xf numFmtId="164" fontId="6" fillId="0" borderId="1" pivotButton="0" quotePrefix="0" xfId="0"/>
    <xf numFmtId="165" fontId="6" fillId="0" borderId="1" pivotButton="0" quotePrefix="0" xfId="0"/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2" fontId="2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'Candidate A'!$A$5:$A$10</f>
            </numRef>
          </cat>
          <val>
            <numRef>
              <f>'Candidate A'!$C$5:$C$10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'Candidate B'!B4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'Candidate B'!$A$5:$A$10</f>
            </numRef>
          </cat>
          <val>
            <numRef>
              <f>'Candidate B'!$B$5:$B$10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Region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(EUR)</a:t>
                </a:r>
              </a:p>
            </rich>
          </tx>
        </title>
        <numFmt formatCode="€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4320000" cy="23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3</row>
      <rowOff>0</rowOff>
    </from>
    <ext cx="4320000" cy="23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8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Evaluation Prompt</t>
        </is>
      </c>
    </row>
    <row r="3">
      <c r="A3" s="2" t="inlineStr">
        <is>
          <t>Task given to both candidates:</t>
        </is>
      </c>
    </row>
    <row r="5" ht="60" customHeight="1">
      <c r="A5" s="3" t="inlineStr">
        <is>
          <t>Build a small weekly KPI table by region showing revenue, conversion rate, and week-over-week change. It must stay correct when a number changes, be readable, and be easy to refresh.</t>
        </is>
      </c>
    </row>
    <row r="7">
      <c r="A7" s="2" t="inlineStr">
        <is>
          <t>How to read the Candidate tabs:</t>
        </is>
      </c>
    </row>
    <row r="8" ht="30" customHeight="1">
      <c r="A8" s="3" t="inlineStr">
        <is>
          <t>Each tab is a real mini-deliverable. Inspect the cells named in the Scorecard reasons (e.g. C11, D5:D10) to verify each score.</t>
        </is>
      </c>
    </row>
  </sheetData>
  <pageMargins left="0.75" right="0.75" top="1" bottom="1" header="0.5" footer="0.5"/>
  <pageSetup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1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6" customWidth="1" min="4" max="4"/>
    <col width="30" customWidth="1" min="5" max="5"/>
  </cols>
  <sheetData>
    <row r="1">
      <c r="A1" s="1" t="inlineStr">
        <is>
          <t>Candidate A</t>
        </is>
      </c>
    </row>
    <row r="2">
      <c r="A2" s="4" t="inlineStr">
        <is>
          <t>Single-tab table, quick to refresh, but the total is typed in, the rate column format is wrong, and the chart is unlabeled.</t>
        </is>
      </c>
    </row>
    <row r="4">
      <c r="A4" s="5" t="inlineStr">
        <is>
          <t>Region</t>
        </is>
      </c>
      <c r="B4" s="5" t="inlineStr">
        <is>
          <t>Visitors</t>
        </is>
      </c>
      <c r="C4" s="5" t="inlineStr">
        <is>
          <t>Revenue</t>
        </is>
      </c>
      <c r="D4" s="5" t="inlineStr">
        <is>
          <t>Conv Rate (manual)</t>
        </is>
      </c>
      <c r="E4" s="5" t="inlineStr">
        <is>
          <t>Note</t>
        </is>
      </c>
    </row>
    <row r="5">
      <c r="A5" s="6" t="inlineStr">
        <is>
          <t>North</t>
        </is>
      </c>
      <c r="B5" s="7" t="n">
        <v>264835</v>
      </c>
      <c r="C5" s="8" t="n">
        <v>48200</v>
      </c>
      <c r="D5" s="9" t="n">
        <v>0.182</v>
      </c>
      <c r="E5" s="10" t="inlineStr">
        <is>
          <t>no WoW column</t>
        </is>
      </c>
    </row>
    <row r="6">
      <c r="A6" s="6" t="inlineStr">
        <is>
          <t>South</t>
        </is>
      </c>
      <c r="B6" s="7" t="n">
        <v>220213</v>
      </c>
      <c r="C6" s="8" t="n">
        <v>31050</v>
      </c>
      <c r="D6" s="9" t="n">
        <v>0.141</v>
      </c>
      <c r="E6" s="10" t="inlineStr">
        <is>
          <t>no WoW column</t>
        </is>
      </c>
    </row>
    <row r="7">
      <c r="A7" s="6" t="inlineStr">
        <is>
          <t>East</t>
        </is>
      </c>
      <c r="B7" s="7" t="n">
        <v>222764</v>
      </c>
      <c r="C7" s="8" t="n">
        <v>27400</v>
      </c>
      <c r="D7" s="9" t="n">
        <v>0.123</v>
      </c>
      <c r="E7" s="10" t="inlineStr">
        <is>
          <t>no WoW column</t>
        </is>
      </c>
    </row>
    <row r="8">
      <c r="A8" s="6" t="inlineStr">
        <is>
          <t>West</t>
        </is>
      </c>
      <c r="B8" s="7" t="n">
        <v>204639</v>
      </c>
      <c r="C8" s="8" t="n">
        <v>19850</v>
      </c>
      <c r="D8" s="9" t="n">
        <v>0.097</v>
      </c>
      <c r="E8" s="10" t="inlineStr">
        <is>
          <t>no WoW column</t>
        </is>
      </c>
    </row>
    <row r="9">
      <c r="A9" s="6" t="inlineStr">
        <is>
          <t>Central</t>
        </is>
      </c>
      <c r="B9" s="7" t="n">
        <v>205454</v>
      </c>
      <c r="C9" s="8" t="n">
        <v>22600</v>
      </c>
      <c r="D9" s="9" t="n">
        <v>0.11</v>
      </c>
      <c r="E9" s="10" t="inlineStr">
        <is>
          <t>no WoW column</t>
        </is>
      </c>
    </row>
    <row r="10">
      <c r="A10" s="6" t="inlineStr">
        <is>
          <t>Online</t>
        </is>
      </c>
      <c r="B10" s="7" t="n">
        <v>195707</v>
      </c>
      <c r="C10" s="8" t="n">
        <v>40120</v>
      </c>
      <c r="D10" s="9" t="n">
        <v>0.205</v>
      </c>
      <c r="E10" s="10" t="inlineStr">
        <is>
          <t>no WoW column</t>
        </is>
      </c>
    </row>
    <row r="11">
      <c r="A11" s="11" t="inlineStr">
        <is>
          <t>TOTAL</t>
        </is>
      </c>
      <c r="C11" s="12" t="n">
        <v>189220</v>
      </c>
      <c r="E11" s="10" t="inlineStr">
        <is>
          <t>189220 typed in, not =SUM</t>
        </is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30" customWidth="1" min="5" max="5"/>
  </cols>
  <sheetData>
    <row r="1">
      <c r="A1" s="1" t="inlineStr">
        <is>
          <t>Candidate B</t>
        </is>
      </c>
    </row>
    <row r="2">
      <c r="A2" s="4" t="inlineStr">
        <is>
          <t>Formula-driven KPI table. Totals and rates compute from the rows; chart and axes are labeled.</t>
        </is>
      </c>
    </row>
    <row r="4">
      <c r="A4" s="5" t="inlineStr">
        <is>
          <t>Region</t>
        </is>
      </c>
      <c r="B4" s="5" t="inlineStr">
        <is>
          <t>Revenue</t>
        </is>
      </c>
      <c r="C4" s="5" t="inlineStr">
        <is>
          <t>Conv Rate</t>
        </is>
      </c>
      <c r="D4" s="5" t="inlineStr">
        <is>
          <t>WoW Change</t>
        </is>
      </c>
      <c r="E4" s="5" t="inlineStr">
        <is>
          <t>Note</t>
        </is>
      </c>
    </row>
    <row r="5">
      <c r="A5" s="6" t="inlineStr">
        <is>
          <t>North</t>
        </is>
      </c>
      <c r="B5" s="8" t="n">
        <v>48200</v>
      </c>
      <c r="C5" s="13" t="n">
        <v>0.182</v>
      </c>
      <c r="D5" s="13" t="n">
        <v>0.061</v>
      </c>
      <c r="E5" s="10" t="inlineStr">
        <is>
          <t>live cell</t>
        </is>
      </c>
    </row>
    <row r="6">
      <c r="A6" s="6" t="inlineStr">
        <is>
          <t>South</t>
        </is>
      </c>
      <c r="B6" s="8" t="n">
        <v>31050</v>
      </c>
      <c r="C6" s="13" t="n">
        <v>0.141</v>
      </c>
      <c r="D6" s="13" t="n">
        <v>-0.018</v>
      </c>
      <c r="E6" s="10" t="inlineStr">
        <is>
          <t>live cell</t>
        </is>
      </c>
    </row>
    <row r="7">
      <c r="A7" s="6" t="inlineStr">
        <is>
          <t>East</t>
        </is>
      </c>
      <c r="B7" s="8" t="n">
        <v>27400</v>
      </c>
      <c r="C7" s="13" t="n">
        <v>0.123</v>
      </c>
      <c r="D7" s="13" t="n">
        <v>0.024</v>
      </c>
      <c r="E7" s="10" t="inlineStr">
        <is>
          <t>live cell</t>
        </is>
      </c>
    </row>
    <row r="8">
      <c r="A8" s="6" t="inlineStr">
        <is>
          <t>West</t>
        </is>
      </c>
      <c r="B8" s="8" t="n">
        <v>19850</v>
      </c>
      <c r="C8" s="13" t="n">
        <v>0.097</v>
      </c>
      <c r="D8" s="13" t="n">
        <v>-0.045</v>
      </c>
      <c r="E8" s="10" t="inlineStr">
        <is>
          <t>live cell</t>
        </is>
      </c>
    </row>
    <row r="9">
      <c r="A9" s="6" t="inlineStr">
        <is>
          <t>Central</t>
        </is>
      </c>
      <c r="B9" s="8" t="n">
        <v>22600</v>
      </c>
      <c r="C9" s="13" t="n">
        <v>0.11</v>
      </c>
      <c r="D9" s="13" t="n">
        <v>0.012</v>
      </c>
      <c r="E9" s="10" t="inlineStr">
        <is>
          <t>live cell</t>
        </is>
      </c>
    </row>
    <row r="10">
      <c r="A10" s="6" t="inlineStr">
        <is>
          <t>Online</t>
        </is>
      </c>
      <c r="B10" s="8" t="n">
        <v>40120</v>
      </c>
      <c r="C10" s="13" t="n">
        <v>0.205</v>
      </c>
      <c r="D10" s="13" t="n">
        <v>0.083</v>
      </c>
      <c r="E10" s="10" t="inlineStr">
        <is>
          <t>live cell</t>
        </is>
      </c>
    </row>
    <row r="11">
      <c r="A11" s="11" t="inlineStr">
        <is>
          <t>TOTAL</t>
        </is>
      </c>
      <c r="B11" s="14">
        <f>SUM(B5:B10)</f>
        <v/>
      </c>
      <c r="C11" s="15">
        <f>IFERROR(SUMPRODUCT(B5:B10,C5:C10)/SUM(B5:B10),0)</f>
        <v/>
      </c>
      <c r="E11" s="10" t="inlineStr">
        <is>
          <t>SUM and SUMPRODUCT, not typed</t>
        </is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2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3" customWidth="1" min="3" max="3"/>
    <col width="13" customWidth="1" min="4" max="4"/>
    <col width="10" customWidth="1" min="6" max="6"/>
    <col width="60" customWidth="1" min="7" max="7"/>
  </cols>
  <sheetData>
    <row r="1">
      <c r="A1" s="1" t="inlineStr">
        <is>
          <t>Rubric</t>
        </is>
      </c>
    </row>
    <row r="2">
      <c r="A2" s="4" t="inlineStr">
        <is>
          <t>Each criterion scored 1-5 (1 = poor, 5 = excellent), then weighted.</t>
        </is>
      </c>
    </row>
    <row r="4">
      <c r="A4" s="5" t="inlineStr">
        <is>
          <t>Criterion</t>
        </is>
      </c>
      <c r="B4" s="5" t="inlineStr">
        <is>
          <t>Weight</t>
        </is>
      </c>
      <c r="C4" s="5" t="inlineStr">
        <is>
          <t>Candidate A</t>
        </is>
      </c>
      <c r="D4" s="5" t="inlineStr">
        <is>
          <t>Candidate B</t>
        </is>
      </c>
    </row>
    <row r="5">
      <c r="A5" s="6" t="inlineStr">
        <is>
          <t>Accuracy</t>
        </is>
      </c>
      <c r="B5" s="16" t="n">
        <v>0.3</v>
      </c>
      <c r="C5" s="17" t="n">
        <v>3</v>
      </c>
      <c r="D5" s="17" t="n">
        <v>5</v>
      </c>
    </row>
    <row r="6">
      <c r="A6" s="6" t="inlineStr">
        <is>
          <t>Completeness</t>
        </is>
      </c>
      <c r="B6" s="16" t="n">
        <v>0.2</v>
      </c>
      <c r="C6" s="17" t="n">
        <v>3</v>
      </c>
      <c r="D6" s="17" t="n">
        <v>5</v>
      </c>
    </row>
    <row r="7">
      <c r="A7" s="6" t="inlineStr">
        <is>
          <t>Formatting</t>
        </is>
      </c>
      <c r="B7" s="16" t="n">
        <v>0.15</v>
      </c>
      <c r="C7" s="17" t="n">
        <v>3</v>
      </c>
      <c r="D7" s="17" t="n">
        <v>5</v>
      </c>
    </row>
    <row r="8">
      <c r="A8" s="6" t="inlineStr">
        <is>
          <t>Usability</t>
        </is>
      </c>
      <c r="B8" s="16" t="n">
        <v>0.2</v>
      </c>
      <c r="C8" s="17" t="n">
        <v>4</v>
      </c>
      <c r="D8" s="17" t="n">
        <v>3</v>
      </c>
    </row>
    <row r="9">
      <c r="A9" s="6" t="inlineStr">
        <is>
          <t>Clarity</t>
        </is>
      </c>
      <c r="B9" s="16" t="n">
        <v>0.15</v>
      </c>
      <c r="C9" s="17" t="n">
        <v>3</v>
      </c>
      <c r="D9" s="17" t="n">
        <v>4</v>
      </c>
    </row>
    <row r="10">
      <c r="A10" s="2" t="inlineStr">
        <is>
          <t>Weight check</t>
        </is>
      </c>
      <c r="B10" s="18">
        <f>SUM(B5:B9)</f>
        <v/>
      </c>
    </row>
    <row r="12">
      <c r="A12" s="2" t="inlineStr">
        <is>
          <t>Level anchors (3/4/5)</t>
        </is>
      </c>
    </row>
    <row r="13">
      <c r="A13" s="5" t="inlineStr">
        <is>
          <t>Criterion</t>
        </is>
      </c>
      <c r="F13" s="5" t="inlineStr">
        <is>
          <t>Level</t>
        </is>
      </c>
      <c r="G13" s="5" t="inlineStr">
        <is>
          <t>Behavior</t>
        </is>
      </c>
    </row>
    <row r="14">
      <c r="A14" s="6" t="inlineStr">
        <is>
          <t>Accuracy</t>
        </is>
      </c>
      <c r="F14" s="17" t="n">
        <v>3</v>
      </c>
      <c r="G14" s="10" t="inlineStr">
        <is>
          <t>Totals typed as literals; desyncs when a row changes.</t>
        </is>
      </c>
    </row>
    <row r="15">
      <c r="A15" s="6" t="inlineStr">
        <is>
          <t>Accuracy</t>
        </is>
      </c>
      <c r="F15" s="17" t="n">
        <v>4</v>
      </c>
      <c r="G15" s="10" t="inlineStr">
        <is>
          <t>Mostly formula-driven; one or two cells hardcoded.</t>
        </is>
      </c>
    </row>
    <row r="16">
      <c r="A16" s="6" t="inlineStr">
        <is>
          <t>Accuracy</t>
        </is>
      </c>
      <c r="F16" s="17" t="n">
        <v>5</v>
      </c>
      <c r="G16" s="10" t="inlineStr">
        <is>
          <t>Every total/rate is a formula (=SUM/=SUMPRODUCT), error-guarded.</t>
        </is>
      </c>
    </row>
    <row r="17">
      <c r="A17" s="6" t="inlineStr">
        <is>
          <t>Completeness</t>
        </is>
      </c>
      <c r="F17" s="17" t="n">
        <v>3</v>
      </c>
      <c r="G17" s="10" t="inlineStr">
        <is>
          <t>Revenue only; no rate, variance, or trend column.</t>
        </is>
      </c>
    </row>
    <row r="18">
      <c r="A18" s="6" t="inlineStr">
        <is>
          <t>Completeness</t>
        </is>
      </c>
      <c r="F18" s="17" t="n">
        <v>4</v>
      </c>
      <c r="G18" s="10" t="inlineStr">
        <is>
          <t>Revenue plus one derived metric (rate OR trend).</t>
        </is>
      </c>
    </row>
    <row r="19">
      <c r="A19" s="6" t="inlineStr">
        <is>
          <t>Completeness</t>
        </is>
      </c>
      <c r="F19" s="17" t="n">
        <v>5</v>
      </c>
      <c r="G19" s="10" t="inlineStr">
        <is>
          <t>Revenue, conversion rate, AND WoW change all present.</t>
        </is>
      </c>
    </row>
    <row r="20">
      <c r="A20" s="6" t="inlineStr">
        <is>
          <t>Formatting</t>
        </is>
      </c>
      <c r="F20" s="17" t="n">
        <v>3</v>
      </c>
      <c r="G20" s="10" t="inlineStr">
        <is>
          <t>Wrong format on a column (rate as raw decimal, not %).</t>
        </is>
      </c>
    </row>
    <row r="21">
      <c r="A21" s="6" t="inlineStr">
        <is>
          <t>Formatting</t>
        </is>
      </c>
      <c r="F21" s="17" t="n">
        <v>4</v>
      </c>
      <c r="G21" s="10" t="inlineStr">
        <is>
          <t>Mostly correct formats; minor inconsistency.</t>
        </is>
      </c>
    </row>
    <row r="22">
      <c r="A22" s="6" t="inlineStr">
        <is>
          <t>Formatting</t>
        </is>
      </c>
      <c r="F22" s="17" t="n">
        <v>5</v>
      </c>
      <c r="G22" s="10" t="inlineStr">
        <is>
          <t>EUR on money, % on rates, consistent throughout.</t>
        </is>
      </c>
    </row>
    <row r="23">
      <c r="A23" s="6" t="inlineStr">
        <is>
          <t>Usability</t>
        </is>
      </c>
      <c r="F23" s="17" t="n">
        <v>3</v>
      </c>
      <c r="G23" s="10" t="inlineStr">
        <is>
          <t>Refresh needs editing a separate inputs block first.</t>
        </is>
      </c>
    </row>
    <row r="24">
      <c r="A24" s="6" t="inlineStr">
        <is>
          <t>Usability</t>
        </is>
      </c>
      <c r="F24" s="17" t="n">
        <v>4</v>
      </c>
      <c r="G24" s="10" t="inlineStr">
        <is>
          <t>One-tab layout; refreshes with a single paste.</t>
        </is>
      </c>
    </row>
    <row r="25">
      <c r="A25" s="6" t="inlineStr">
        <is>
          <t>Usability</t>
        </is>
      </c>
      <c r="F25" s="17" t="n">
        <v>5</v>
      </c>
      <c r="G25" s="10" t="inlineStr">
        <is>
          <t>One paste refreshes everything AND inputs are isolated.</t>
        </is>
      </c>
    </row>
    <row r="26">
      <c r="A26" s="6" t="inlineStr">
        <is>
          <t>Clarity</t>
        </is>
      </c>
      <c r="F26" s="17" t="n">
        <v>3</v>
      </c>
      <c r="G26" s="10" t="inlineStr">
        <is>
          <t>Chart present but no title and no axis labels.</t>
        </is>
      </c>
    </row>
    <row r="27">
      <c r="A27" s="6" t="inlineStr">
        <is>
          <t>Clarity</t>
        </is>
      </c>
      <c r="F27" s="17" t="n">
        <v>4</v>
      </c>
      <c r="G27" s="10" t="inlineStr">
        <is>
          <t>Chart titled; axis labels partial.</t>
        </is>
      </c>
    </row>
    <row r="28">
      <c r="A28" s="6" t="inlineStr">
        <is>
          <t>Clarity</t>
        </is>
      </c>
      <c r="F28" s="17" t="n">
        <v>5</v>
      </c>
      <c r="G28" s="10" t="inlineStr">
        <is>
          <t>Chart titled with both axes labeled and units shown.</t>
        </is>
      </c>
    </row>
  </sheetData>
  <conditionalFormatting sqref="C5:D9">
    <cfRule type="colorScale" priority="1">
      <colorScale>
        <cfvo type="num" val="1"/>
        <cfvo type="num" val="3"/>
        <cfvo type="num" val="5"/>
        <color rgb="00FCA5A5"/>
        <color rgb="00FDE68A"/>
        <color rgb="0086EFAC"/>
      </colorScale>
    </cfRule>
  </conditionalFormatting>
  <pageMargins left="0.75" right="0.75" top="1" bottom="1" header="0.5" footer="0.5"/>
  <pageSetup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1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2" customWidth="1" min="3" max="3"/>
    <col width="12" customWidth="1" min="4" max="4"/>
    <col width="14" customWidth="1" min="5" max="5"/>
    <col width="60" customWidth="1" min="6" max="6"/>
  </cols>
  <sheetData>
    <row r="1">
      <c r="A1" s="1" t="inlineStr">
        <is>
          <t>Scorecard</t>
        </is>
      </c>
    </row>
    <row r="2">
      <c r="A2" s="4" t="inlineStr">
        <is>
          <t>Winner is decided on the WEIGHTED total (=SUMPRODUCT of scores and weights), not a raw sum.</t>
        </is>
      </c>
    </row>
    <row r="4">
      <c r="A4" s="5" t="inlineStr">
        <is>
          <t>Criterion</t>
        </is>
      </c>
      <c r="B4" s="5" t="inlineStr">
        <is>
          <t>Weight</t>
        </is>
      </c>
      <c r="C4" s="5" t="inlineStr">
        <is>
          <t>Candidate A</t>
        </is>
      </c>
      <c r="D4" s="5" t="inlineStr">
        <is>
          <t>Candidate B</t>
        </is>
      </c>
      <c r="E4" s="5" t="inlineStr">
        <is>
          <t>Winner</t>
        </is>
      </c>
      <c r="F4" s="5" t="inlineStr">
        <is>
          <t>Reason (observable evidence)</t>
        </is>
      </c>
    </row>
    <row r="5">
      <c r="A5" s="6" t="inlineStr">
        <is>
          <t>Accuracy</t>
        </is>
      </c>
      <c r="B5" s="16">
        <f>Rubric!B5</f>
        <v/>
      </c>
      <c r="C5" s="17">
        <f>Rubric!C5</f>
        <v/>
      </c>
      <c r="D5" s="17">
        <f>Rubric!D5</f>
        <v/>
      </c>
      <c r="E5" s="17">
        <f>IF(D5&gt;C5,"Candidate B",IF(C5&gt;D5,"Candidate A","Tie"))</f>
        <v/>
      </c>
      <c r="F5" s="10" t="inlineStr">
        <is>
          <t>A!C11 is the literal 189220 (hardcoded grand total), so it desyncs the moment a revenue row changes; B!B11 is =SUM(B5:B10) and stays correct.</t>
        </is>
      </c>
    </row>
    <row r="6">
      <c r="A6" s="6" t="inlineStr">
        <is>
          <t>Completeness</t>
        </is>
      </c>
      <c r="B6" s="16">
        <f>Rubric!B6</f>
        <v/>
      </c>
      <c r="C6" s="17">
        <f>Rubric!C6</f>
        <v/>
      </c>
      <c r="D6" s="17">
        <f>Rubric!D6</f>
        <v/>
      </c>
      <c r="E6" s="17">
        <f>IF(D6&gt;C6,"Candidate B",IF(C6&gt;D6,"Candidate A","Tie"))</f>
        <v/>
      </c>
      <c r="F6" s="10" t="inlineStr">
        <is>
          <t>B carries a Conv Rate column (col C) AND a WoW Change trend (col D); A has revenue and a manual rate but no week-over-week or variance column.</t>
        </is>
      </c>
    </row>
    <row r="7">
      <c r="A7" s="6" t="inlineStr">
        <is>
          <t>Formatting</t>
        </is>
      </c>
      <c r="B7" s="16">
        <f>Rubric!B7</f>
        <v/>
      </c>
      <c r="C7" s="17">
        <f>Rubric!C7</f>
        <v/>
      </c>
      <c r="D7" s="17">
        <f>Rubric!D7</f>
        <v/>
      </c>
      <c r="E7" s="17">
        <f>IF(D7&gt;C7,"Candidate B",IF(C7&gt;D7,"Candidate A","Tie"))</f>
        <v/>
      </c>
      <c r="F7" s="10" t="inlineStr">
        <is>
          <t>A!D5:D10 (conversion rate) is a raw proportion under a plain decimal format, so 0.182 shows as 0.18 not 18.2%; B!C5:C10 uses a percent format throughout.</t>
        </is>
      </c>
    </row>
    <row r="8">
      <c r="A8" s="6" t="inlineStr">
        <is>
          <t>Usability</t>
        </is>
      </c>
      <c r="B8" s="16">
        <f>Rubric!B8</f>
        <v/>
      </c>
      <c r="C8" s="17">
        <f>Rubric!C8</f>
        <v/>
      </c>
      <c r="D8" s="17">
        <f>Rubric!D8</f>
        <v/>
      </c>
      <c r="E8" s="17">
        <f>IF(D8&gt;C8,"Candidate B",IF(C8&gt;D8,"Candidate A","Tie"))</f>
        <v/>
      </c>
      <c r="F8" s="10" t="inlineStr">
        <is>
          <t>A refreshes by pasting numbers into one flat table; B's totals are =SUM / =SUMPRODUCT formulas a careless edit can break, so a safe refresh takes more care.</t>
        </is>
      </c>
    </row>
    <row r="9">
      <c r="A9" s="6" t="inlineStr">
        <is>
          <t>Clarity</t>
        </is>
      </c>
      <c r="B9" s="16">
        <f>Rubric!B9</f>
        <v/>
      </c>
      <c r="C9" s="17">
        <f>Rubric!C9</f>
        <v/>
      </c>
      <c r="D9" s="17">
        <f>Rubric!D9</f>
        <v/>
      </c>
      <c r="E9" s="17">
        <f>IF(D9&gt;C9,"Candidate B",IF(C9&gt;D9,"Candidate A","Tie"))</f>
        <v/>
      </c>
      <c r="F9" s="10" t="inlineStr">
        <is>
          <t>B's chart (anchored at G4) has the title 'Revenue by Region' and labeled axes; A's chart (anchored at A12) has no title and no axis labels.</t>
        </is>
      </c>
    </row>
    <row r="10">
      <c r="A10" s="11" t="inlineStr">
        <is>
          <t>WEIGHTED TOTAL</t>
        </is>
      </c>
      <c r="B10" s="16">
        <f>SUM(B5:B9)</f>
        <v/>
      </c>
      <c r="C10" s="19">
        <f>SUMPRODUCT(C5:C9,B5:B9)</f>
        <v/>
      </c>
      <c r="D10" s="19">
        <f>SUMPRODUCT(D5:D9,B5:B9)</f>
        <v/>
      </c>
      <c r="E10" s="20">
        <f>IF(D10&gt;C10,"Candidate B",IF(C10&gt;D10,"Candidate A","Tie"))</f>
        <v/>
      </c>
      <c r="F10" s="10" t="inlineStr">
        <is>
          <t>Higher weighted total wins; Accuracy (30%) outweighs Formatting (15%).</t>
        </is>
      </c>
    </row>
    <row r="12" ht="44" customHeight="1">
      <c r="A12" s="2" t="inlineStr">
        <is>
          <t>Calibration note</t>
        </is>
      </c>
      <c r="C12" s="3" t="inlineStr">
        <is>
          <t>Clarity was the closest call: A's chart is unlabeled (3) but B's lacks a data label per bar (4 not 5). Usability genuinely went to A (4 vs 3) for one-paste refresh -- the only criterion A wins.</t>
        </is>
      </c>
    </row>
  </sheetData>
  <mergeCells count="1">
    <mergeCell ref="C12:F12"/>
  </mergeCells>
  <pageMargins left="0.75" right="0.75" top="1" bottom="1" header="0.5" footer="0.5"/>
  <pageSetup orientation="landscape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A7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Final Decision</t>
        </is>
      </c>
    </row>
    <row r="3" ht="60" customHeight="1">
      <c r="A3" s="3" t="inlineStr">
        <is>
          <t>Candidate B wins on the weighted total because Accuracy and Completeness (the two heaviest-weighted criteria) hinge on real formulas: B's total is =SUM and it carries conversion rate and WoW change, while A hardcodes its total and omits both metrics.</t>
        </is>
      </c>
    </row>
    <row r="5" ht="60" customHeight="1">
      <c r="A5" s="3" t="inlineStr">
        <is>
          <t>Candidate A is not a clean sweep loss: it wins Usability (4 vs 3) because its single-tab layout refreshes with one paste, whereas B needs a separate Inputs block edited first. That tradeoff -- simplicity vs correctness -- is the real decision, and correctness carries more weight here, so B still wins overall.</t>
        </is>
      </c>
    </row>
    <row r="7" ht="30" customHeight="1">
      <c r="A7" s="3" t="inlineStr">
        <is>
          <t>Calibration: Clarity (A=3 vs B=4) was the closest call; both charts are imperfect, so that one point is the least certain.</t>
        </is>
      </c>
    </row>
  </sheetData>
  <pageMargins left="0.75" right="0.75" top="1" bottom="1" header="0.5" footer="0.5"/>
  <pageSetup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Simon Sangla</dc:creator>
  <dc:title xmlns:dc="http://purl.org/dc/elements/1.1/">Spreadsheet Evaluation Pack</dc:title>
  <dcterms:created xmlns:dcterms="http://purl.org/dc/terms/" xmlns:xsi="http://www.w3.org/2001/XMLSchema-instance" xsi:type="dcterms:W3CDTF">2026-06-14T05:07:00Z</dcterms:created>
  <dcterms:modified xmlns:dcterms="http://purl.org/dc/terms/" xmlns:xsi="http://www.w3.org/2001/XMLSchema-instance" xsi:type="dcterms:W3CDTF">2026-06-14T05:07:00Z</dcterms:modified>
  <cp:lastModifiedBy>Simon Sangla</cp:lastModifiedBy>
</cp:coreProperties>
</file>